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ف أدهم الشام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b val="1"/>
      <color rgb="00FFFFFF"/>
      <sz val="12"/>
    </font>
    <font>
      <name val="Calibri"/>
      <b val="1"/>
      <color rgb="001E293B"/>
      <sz val="11"/>
    </font>
    <font>
      <name val="Calibri"/>
      <color rgb="000F172A"/>
      <sz val="11"/>
    </font>
    <font>
      <name val="Calibri"/>
      <b val="1"/>
      <color rgb="00991B1B"/>
      <sz val="12"/>
    </font>
    <font>
      <name val="Calibri"/>
      <b val="1"/>
      <color rgb="000F172A"/>
      <sz val="11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0369A1"/>
        <bgColor rgb="000369A1"/>
      </patternFill>
    </fill>
    <fill>
      <patternFill patternType="solid">
        <fgColor rgb="00E0E7FF"/>
        <bgColor rgb="00E0E7FF"/>
      </patternFill>
    </fill>
    <fill>
      <patternFill patternType="solid">
        <fgColor rgb="0015803D"/>
        <bgColor rgb="0015803D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/>
    </xf>
    <xf numFmtId="4" fontId="4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4" fontId="6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cols>
    <col width="68" customWidth="1" min="1" max="1"/>
    <col width="34" customWidth="1" min="2" max="2"/>
    <col width="25" customWidth="1" min="3" max="3"/>
    <col width="23" customWidth="1" min="4" max="4"/>
    <col width="19" customWidth="1" min="5" max="5"/>
    <col width="31" customWidth="1" min="6" max="6"/>
    <col width="21" customWidth="1" min="7" max="7"/>
    <col width="26" customWidth="1" min="8" max="8"/>
  </cols>
  <sheetData>
    <row r="1" ht="32" customHeight="1">
      <c r="A1" s="1" t="inlineStr">
        <is>
          <t>سجل وتوريدات ومستودع أدهم الشامل - النسخة المطورة 2026</t>
        </is>
      </c>
    </row>
    <row r="2"/>
    <row r="3" ht="24" customHeight="1">
      <c r="A3" s="2" t="inlineStr">
        <is>
          <t>١. فواتير التوريد والتحميل والنقل (من 1 إلى 9)</t>
        </is>
      </c>
    </row>
    <row r="4" ht="24" customHeight="1">
      <c r="A4" s="3" t="inlineStr">
        <is>
          <t>رقم الشحنة</t>
        </is>
      </c>
      <c r="B4" s="3" t="inlineStr">
        <is>
          <t>اسم الملف الأصلي</t>
        </is>
      </c>
      <c r="C4" s="3" t="inlineStr">
        <is>
          <t>التاريخ</t>
        </is>
      </c>
      <c r="D4" s="3" t="inlineStr">
        <is>
          <t>العميل المستلم</t>
        </is>
      </c>
      <c r="E4" s="3" t="inlineStr">
        <is>
          <t>السائق</t>
        </is>
      </c>
      <c r="F4" s="3" t="inlineStr">
        <is>
          <t>إجمالي القطع</t>
        </is>
      </c>
      <c r="G4" s="3" t="inlineStr">
        <is>
          <t>المسطح (م٢)</t>
        </is>
      </c>
      <c r="H4" s="3" t="inlineStr">
        <is>
          <t>القيمة الإجمالية (ج.م)</t>
        </is>
      </c>
    </row>
    <row r="5">
      <c r="A5" s="4" t="inlineStr">
        <is>
          <t>شحنة 1</t>
        </is>
      </c>
      <c r="B5" s="4" t="inlineStr">
        <is>
          <t>1.xlsx</t>
        </is>
      </c>
      <c r="C5" s="4" t="inlineStr">
        <is>
          <t>22/06/2026</t>
        </is>
      </c>
      <c r="D5" s="5" t="inlineStr">
        <is>
          <t>الحاج نور</t>
        </is>
      </c>
      <c r="E5" s="4" t="inlineStr">
        <is>
          <t>اللمعة</t>
        </is>
      </c>
      <c r="F5" s="4" t="n">
        <v>137</v>
      </c>
      <c r="G5" s="6" t="n">
        <v>732.51</v>
      </c>
      <c r="H5" s="6" t="n">
        <v>115896</v>
      </c>
    </row>
    <row r="6">
      <c r="A6" s="7" t="inlineStr">
        <is>
          <t>شحنة 2</t>
        </is>
      </c>
      <c r="B6" s="7" t="inlineStr">
        <is>
          <t>2.xlsx</t>
        </is>
      </c>
      <c r="C6" s="7" t="inlineStr">
        <is>
          <t>07/05/2026</t>
        </is>
      </c>
      <c r="D6" s="8" t="inlineStr">
        <is>
          <t>الحاج صلاح</t>
        </is>
      </c>
      <c r="E6" s="7" t="inlineStr">
        <is>
          <t>-</t>
        </is>
      </c>
      <c r="F6" s="7" t="n">
        <v>142</v>
      </c>
      <c r="G6" s="9" t="n">
        <v>744.1</v>
      </c>
      <c r="H6" s="9" t="n">
        <v>138783.8</v>
      </c>
    </row>
    <row r="7">
      <c r="A7" s="4" t="inlineStr">
        <is>
          <t>شحنة 3</t>
        </is>
      </c>
      <c r="B7" s="4" t="inlineStr">
        <is>
          <t>3.xlsx</t>
        </is>
      </c>
      <c r="C7" s="4" t="inlineStr">
        <is>
          <t>11/07/2026</t>
        </is>
      </c>
      <c r="D7" s="5" t="inlineStr">
        <is>
          <t>صديق جعفر</t>
        </is>
      </c>
      <c r="E7" s="4" t="inlineStr">
        <is>
          <t>-</t>
        </is>
      </c>
      <c r="F7" s="4" t="n">
        <v>135</v>
      </c>
      <c r="G7" s="6" t="n">
        <v>715.4</v>
      </c>
      <c r="H7" s="6" t="n">
        <v>135000</v>
      </c>
    </row>
    <row r="8">
      <c r="A8" s="7" t="inlineStr">
        <is>
          <t>شحنة 4</t>
        </is>
      </c>
      <c r="B8" s="7" t="inlineStr">
        <is>
          <t>4.xlsx</t>
        </is>
      </c>
      <c r="C8" s="7" t="inlineStr">
        <is>
          <t>22/07/2026</t>
        </is>
      </c>
      <c r="D8" s="8" t="inlineStr">
        <is>
          <t>صديق جعفر</t>
        </is>
      </c>
      <c r="E8" s="7" t="inlineStr">
        <is>
          <t>-</t>
        </is>
      </c>
      <c r="F8" s="7" t="n">
        <v>128</v>
      </c>
      <c r="G8" s="9" t="n">
        <v>690.2</v>
      </c>
      <c r="H8" s="9" t="n">
        <v>128500</v>
      </c>
    </row>
    <row r="9">
      <c r="A9" s="4" t="inlineStr">
        <is>
          <t>شحنة 5</t>
        </is>
      </c>
      <c r="B9" s="4" t="inlineStr">
        <is>
          <t>5.xlsx</t>
        </is>
      </c>
      <c r="C9" s="4" t="inlineStr">
        <is>
          <t>01/08/2026</t>
        </is>
      </c>
      <c r="D9" s="5" t="inlineStr">
        <is>
          <t>صديق جعفر</t>
        </is>
      </c>
      <c r="E9" s="4" t="inlineStr">
        <is>
          <t>-</t>
        </is>
      </c>
      <c r="F9" s="4" t="n">
        <v>139</v>
      </c>
      <c r="G9" s="6" t="n">
        <v>730</v>
      </c>
      <c r="H9" s="6" t="n">
        <v>142000</v>
      </c>
    </row>
    <row r="10">
      <c r="A10" s="7" t="inlineStr">
        <is>
          <t>شحنة 6</t>
        </is>
      </c>
      <c r="B10" s="7" t="inlineStr">
        <is>
          <t>6.xlsx</t>
        </is>
      </c>
      <c r="C10" s="7" t="inlineStr">
        <is>
          <t>13/08/2026</t>
        </is>
      </c>
      <c r="D10" s="8" t="inlineStr">
        <is>
          <t>الحاج صلاح</t>
        </is>
      </c>
      <c r="E10" s="7" t="inlineStr">
        <is>
          <t>-</t>
        </is>
      </c>
      <c r="F10" s="7" t="n">
        <v>130</v>
      </c>
      <c r="G10" s="9" t="n">
        <v>712.5</v>
      </c>
      <c r="H10" s="9" t="n">
        <v>120426.06</v>
      </c>
    </row>
    <row r="11">
      <c r="A11" s="4" t="inlineStr">
        <is>
          <t>شحنة 7</t>
        </is>
      </c>
      <c r="B11" s="4" t="inlineStr">
        <is>
          <t>7.xlsx</t>
        </is>
      </c>
      <c r="C11" s="4" t="inlineStr">
        <is>
          <t>16/08/2026</t>
        </is>
      </c>
      <c r="D11" s="5" t="inlineStr">
        <is>
          <t>الحاج صلاح</t>
        </is>
      </c>
      <c r="E11" s="4" t="inlineStr">
        <is>
          <t>-</t>
        </is>
      </c>
      <c r="F11" s="4" t="n">
        <v>133</v>
      </c>
      <c r="G11" s="6" t="n">
        <v>720.8</v>
      </c>
      <c r="H11" s="6" t="n">
        <v>120806</v>
      </c>
    </row>
    <row r="12">
      <c r="A12" s="7" t="inlineStr">
        <is>
          <t>شحنة 8</t>
        </is>
      </c>
      <c r="B12" s="7" t="inlineStr">
        <is>
          <t>8.xlsx</t>
        </is>
      </c>
      <c r="C12" s="7" t="inlineStr">
        <is>
          <t>22/08/2026</t>
        </is>
      </c>
      <c r="D12" s="8" t="inlineStr">
        <is>
          <t>مصطفي شيخون</t>
        </is>
      </c>
      <c r="E12" s="7" t="inlineStr">
        <is>
          <t>-</t>
        </is>
      </c>
      <c r="F12" s="7" t="n">
        <v>145</v>
      </c>
      <c r="G12" s="9" t="n">
        <v>755.3</v>
      </c>
      <c r="H12" s="9" t="n">
        <v>138000</v>
      </c>
    </row>
    <row r="13">
      <c r="A13" s="4" t="inlineStr">
        <is>
          <t>شحنة 9</t>
        </is>
      </c>
      <c r="B13" s="4" t="inlineStr">
        <is>
          <t>9.xlsx</t>
        </is>
      </c>
      <c r="C13" s="4" t="inlineStr">
        <is>
          <t>27/08/2026</t>
        </is>
      </c>
      <c r="D13" s="5" t="inlineStr">
        <is>
          <t>مصطفي شيخون</t>
        </is>
      </c>
      <c r="E13" s="4" t="inlineStr">
        <is>
          <t>-</t>
        </is>
      </c>
      <c r="F13" s="4" t="n">
        <v>140</v>
      </c>
      <c r="G13" s="6" t="n">
        <v>738.9</v>
      </c>
      <c r="H13" s="6" t="n">
        <v>132000</v>
      </c>
    </row>
    <row r="14" ht="26" customHeight="1">
      <c r="A14" s="10" t="n"/>
      <c r="B14" s="10" t="n"/>
      <c r="C14" s="10" t="n"/>
      <c r="D14" s="11" t="inlineStr">
        <is>
          <t>إجمالي شحنات أدهم</t>
        </is>
      </c>
      <c r="E14" s="10" t="n"/>
      <c r="F14" s="11">
        <f>SUM(F5:F13)</f>
        <v/>
      </c>
      <c r="G14" s="12">
        <f>SUM(G5:G13)</f>
        <v/>
      </c>
      <c r="H14" s="12">
        <f>SUM(H5:H13)</f>
        <v/>
      </c>
    </row>
    <row r="15"/>
    <row r="16"/>
    <row r="17" ht="24" customHeight="1">
      <c r="A17" s="13" t="inlineStr">
        <is>
          <t>٢. ملخص إجمالي أمتار الخامات والأسعار (من ملف اجمالي امتار.xlsx)</t>
        </is>
      </c>
    </row>
    <row r="18" ht="24" customHeight="1">
      <c r="A18" s="14" t="inlineStr">
        <is>
          <t>م</t>
        </is>
      </c>
      <c r="B18" s="14" t="inlineStr">
        <is>
          <t>نوع الخامة والبيان</t>
        </is>
      </c>
      <c r="C18" s="14" t="inlineStr">
        <is>
          <t>السمك</t>
        </is>
      </c>
      <c r="D18" s="14" t="inlineStr">
        <is>
          <t>إجمالي الأمتار (م٢)</t>
        </is>
      </c>
      <c r="E18" s="14" t="inlineStr">
        <is>
          <t>سعر المتر (ج.م)</t>
        </is>
      </c>
      <c r="F18" s="14" t="inlineStr">
        <is>
          <t>القيمة الإجمالية (ج.م)</t>
        </is>
      </c>
      <c r="G18" s="14" t="inlineStr">
        <is>
          <t>الملاحظات</t>
        </is>
      </c>
      <c r="H18" s="14" t="inlineStr">
        <is>
          <t>الحالة</t>
        </is>
      </c>
    </row>
    <row r="19">
      <c r="A19" s="4" t="n">
        <v>1</v>
      </c>
      <c r="B19" s="5" t="inlineStr">
        <is>
          <t>سيلفيا طاولات</t>
        </is>
      </c>
      <c r="C19" s="4" t="inlineStr">
        <is>
          <t>3 سم</t>
        </is>
      </c>
      <c r="D19" s="6" t="n">
        <v>824.48</v>
      </c>
      <c r="E19" s="6" t="n">
        <v>175</v>
      </c>
      <c r="F19" s="6" t="n">
        <v>144284</v>
      </c>
      <c r="G19" s="4" t="inlineStr">
        <is>
          <t>طاولات فرز أول</t>
        </is>
      </c>
      <c r="H19" s="4" t="inlineStr">
        <is>
          <t>معتمد</t>
        </is>
      </c>
    </row>
    <row r="20">
      <c r="A20" s="7" t="n">
        <v>2</v>
      </c>
      <c r="B20" s="8" t="inlineStr">
        <is>
          <t>صني طاولات</t>
        </is>
      </c>
      <c r="C20" s="7" t="inlineStr">
        <is>
          <t>3 سم</t>
        </is>
      </c>
      <c r="D20" s="9" t="n">
        <v>2363.67</v>
      </c>
      <c r="E20" s="9" t="n">
        <v>155</v>
      </c>
      <c r="F20" s="9" t="n">
        <v>366368.85</v>
      </c>
      <c r="G20" s="7" t="inlineStr">
        <is>
          <t>طاولات صني متنوعة</t>
        </is>
      </c>
      <c r="H20" s="7" t="inlineStr">
        <is>
          <t>معتمد</t>
        </is>
      </c>
    </row>
    <row r="21">
      <c r="A21" s="4" t="n">
        <v>3</v>
      </c>
      <c r="B21" s="5" t="inlineStr">
        <is>
          <t>ريشة طاولات</t>
        </is>
      </c>
      <c r="C21" s="4" t="inlineStr">
        <is>
          <t>3 سم</t>
        </is>
      </c>
      <c r="D21" s="6" t="n">
        <v>1537.38</v>
      </c>
      <c r="E21" s="6" t="n">
        <v>165</v>
      </c>
      <c r="F21" s="6" t="n">
        <v>253667.7</v>
      </c>
      <c r="G21" s="4" t="inlineStr">
        <is>
          <t>ريشة ممتازة</t>
        </is>
      </c>
      <c r="H21" s="4" t="inlineStr">
        <is>
          <t>معتمد</t>
        </is>
      </c>
    </row>
    <row r="22">
      <c r="A22" s="7" t="n">
        <v>4</v>
      </c>
      <c r="B22" s="8" t="inlineStr">
        <is>
          <t>صني غشيم</t>
        </is>
      </c>
      <c r="C22" s="7" t="inlineStr">
        <is>
          <t>2 سم / 3 سم</t>
        </is>
      </c>
      <c r="D22" s="9" t="n">
        <v>503.95</v>
      </c>
      <c r="E22" s="9" t="n">
        <v>135</v>
      </c>
      <c r="F22" s="9" t="n">
        <v>68033.25</v>
      </c>
      <c r="G22" s="7" t="inlineStr">
        <is>
          <t>ألواح صني غشيم</t>
        </is>
      </c>
      <c r="H22" s="7" t="inlineStr">
        <is>
          <t>معتمد</t>
        </is>
      </c>
    </row>
    <row r="23" ht="26" customHeight="1">
      <c r="A23" s="10" t="n"/>
      <c r="B23" s="11" t="inlineStr">
        <is>
          <t>إجمالي خامات أدهم</t>
        </is>
      </c>
      <c r="C23" s="10" t="n"/>
      <c r="D23" s="12">
        <f>SUM(D19:D22)</f>
        <v/>
      </c>
      <c r="E23" s="10" t="n"/>
      <c r="F23" s="12">
        <f>SUM(F19:F22)</f>
        <v/>
      </c>
      <c r="G23" s="10" t="n"/>
      <c r="H23" s="10" t="n"/>
    </row>
    <row r="24"/>
    <row r="25"/>
    <row r="26" ht="24" customHeight="1">
      <c r="A26" s="15" t="inlineStr">
        <is>
          <t>٣. حساب ورشة عرب مساعد (حق الحجر والنوالين - رجب علي)</t>
        </is>
      </c>
    </row>
    <row r="27" ht="24" customHeight="1">
      <c r="A27" s="16" t="inlineStr">
        <is>
          <t>م</t>
        </is>
      </c>
      <c r="B27" s="16" t="inlineStr">
        <is>
          <t>البيان الأصلي</t>
        </is>
      </c>
      <c r="C27" s="16" t="inlineStr">
        <is>
          <t>المبلغ الإجمالي (ج.م)</t>
        </is>
      </c>
      <c r="D27" s="16" t="inlineStr">
        <is>
          <t>الواصل من رجب علي</t>
        </is>
      </c>
      <c r="E27" s="16" t="inlineStr">
        <is>
          <t>المتبقي المستحق</t>
        </is>
      </c>
      <c r="F27" s="16" t="inlineStr">
        <is>
          <t>الملاحظات</t>
        </is>
      </c>
      <c r="G27" s="16" t="inlineStr">
        <is>
          <t>الحالة</t>
        </is>
      </c>
    </row>
    <row r="28">
      <c r="A28" s="17" t="n">
        <v>1</v>
      </c>
      <c r="B28" s="17" t="inlineStr">
        <is>
          <t>حق الحجر والنوالين (عرب مساعد)</t>
        </is>
      </c>
      <c r="C28" s="18" t="n">
        <v>427000</v>
      </c>
      <c r="D28" s="18" t="n">
        <v>180000</v>
      </c>
      <c r="E28" s="18" t="n">
        <v>247000</v>
      </c>
      <c r="F28" s="17" t="inlineStr">
        <is>
          <t>واصل 180,000 ج.م من رجب علي</t>
        </is>
      </c>
      <c r="G28" s="17" t="inlineStr">
        <is>
          <t>جاري المتابعة</t>
        </is>
      </c>
    </row>
  </sheetData>
  <mergeCells count="4">
    <mergeCell ref="A26:H26"/>
    <mergeCell ref="A3:H3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2026-10-27T19:24:49Z</dcterms:created>
  <dcterms:modified xsi:type="dcterms:W3CDTF">2026-10-27T19:24:49Z</dcterms:modified>
</cp:coreProperties>
</file>
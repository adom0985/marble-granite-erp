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حساب صديق جعف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b val="1"/>
      <color rgb="00FFFFFF"/>
      <sz val="12"/>
    </font>
    <font>
      <name val="Calibri"/>
      <b val="1"/>
      <color rgb="001E293B"/>
      <sz val="11"/>
    </font>
    <font>
      <name val="Calibri"/>
      <color rgb="000F172A"/>
      <sz val="11"/>
    </font>
    <font>
      <name val="Calibri"/>
      <b val="1"/>
      <color rgb="00991B1B"/>
      <sz val="12"/>
    </font>
    <font>
      <name val="Calibri"/>
      <b val="1"/>
      <color rgb="0015803D"/>
      <sz val="12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08A"/>
        <bgColor rgb="00FEF0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15803D"/>
        <bgColor rgb="0015803D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right" vertical="center"/>
    </xf>
    <xf numFmtId="4" fontId="4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4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rightToLeft="1" workbookViewId="0">
      <selection activeCell="A1" sqref="A1"/>
    </sheetView>
  </sheetViews>
  <sheetFormatPr baseColWidth="8" defaultRowHeight="15"/>
  <cols>
    <col width="61" customWidth="1" min="1" max="1"/>
    <col width="27" customWidth="1" min="2" max="2"/>
    <col width="14" customWidth="1" min="3" max="3"/>
    <col width="18" customWidth="1" min="4" max="4"/>
    <col width="45" customWidth="1" min="5" max="5"/>
    <col width="22" customWidth="1" min="6" max="6"/>
    <col width="14" customWidth="1" min="7" max="7"/>
  </cols>
  <sheetData>
    <row r="1" ht="32" customHeight="1">
      <c r="A1" s="1" t="inlineStr">
        <is>
          <t>سجل وحساب صديق جعفر الشامل - النسخة المطورة 2026</t>
        </is>
      </c>
    </row>
    <row r="2"/>
    <row r="3" ht="24" customHeight="1">
      <c r="A3" s="2" t="inlineStr">
        <is>
          <t>١. فواتير البضاعة والتوريد (بالمسميات الأصلية من الدفاتر)</t>
        </is>
      </c>
    </row>
    <row r="4" ht="24" customHeight="1">
      <c r="A4" s="3" t="inlineStr">
        <is>
          <t>م</t>
        </is>
      </c>
      <c r="B4" s="3" t="inlineStr">
        <is>
          <t>اسم الفاتورة والبيان</t>
        </is>
      </c>
      <c r="C4" s="3" t="inlineStr">
        <is>
          <t>التاريخ</t>
        </is>
      </c>
      <c r="D4" s="3" t="inlineStr">
        <is>
          <t>المبلغ (ج.م)</t>
        </is>
      </c>
      <c r="E4" s="3" t="inlineStr">
        <is>
          <t>بيان الشغل / الجهة</t>
        </is>
      </c>
      <c r="F4" s="3" t="inlineStr">
        <is>
          <t>الواصل منها</t>
        </is>
      </c>
      <c r="G4" s="3" t="inlineStr">
        <is>
          <t>الحالة</t>
        </is>
      </c>
    </row>
    <row r="5">
      <c r="A5" s="4" t="n">
        <v>1</v>
      </c>
      <c r="B5" s="5" t="inlineStr">
        <is>
          <t>جعفر - حساب قديم</t>
        </is>
      </c>
      <c r="C5" s="4" t="inlineStr">
        <is>
          <t>رصيد سابق</t>
        </is>
      </c>
      <c r="D5" s="6" t="n">
        <v>8000</v>
      </c>
      <c r="E5" s="4" t="inlineStr">
        <is>
          <t>باقي قديم مرحل</t>
        </is>
      </c>
      <c r="F5" s="6" t="n">
        <v>8000</v>
      </c>
      <c r="G5" s="4" t="inlineStr">
        <is>
          <t>خالص</t>
        </is>
      </c>
    </row>
    <row r="6">
      <c r="A6" s="7" t="n">
        <v>2</v>
      </c>
      <c r="B6" s="8" t="inlineStr">
        <is>
          <t>فاتورة 1</t>
        </is>
      </c>
      <c r="C6" s="7" t="inlineStr">
        <is>
          <t>07/11/2026</t>
        </is>
      </c>
      <c r="D6" s="9" t="n">
        <v>129066</v>
      </c>
      <c r="E6" s="7" t="inlineStr">
        <is>
          <t>أحمد وحسين (صني وسيلفيا 138 طاولة 774 م٢)</t>
        </is>
      </c>
      <c r="F6" s="9" t="n">
        <v>129066</v>
      </c>
      <c r="G6" s="7" t="inlineStr">
        <is>
          <t>خالص</t>
        </is>
      </c>
    </row>
    <row r="7">
      <c r="A7" s="4" t="n">
        <v>3</v>
      </c>
      <c r="B7" s="5" t="inlineStr">
        <is>
          <t>فاتورة 2</t>
        </is>
      </c>
      <c r="C7" s="4" t="inlineStr">
        <is>
          <t>07/11/2026</t>
        </is>
      </c>
      <c r="D7" s="6" t="n">
        <v>127981</v>
      </c>
      <c r="E7" s="4" t="inlineStr">
        <is>
          <t>شغل أدهم (طاولات ممتازة)</t>
        </is>
      </c>
      <c r="F7" s="6" t="n">
        <v>127981</v>
      </c>
      <c r="G7" s="4" t="inlineStr">
        <is>
          <t>خالص</t>
        </is>
      </c>
    </row>
    <row r="8">
      <c r="A8" s="7" t="n">
        <v>4</v>
      </c>
      <c r="B8" s="8" t="inlineStr">
        <is>
          <t>فاتورة 3</t>
        </is>
      </c>
      <c r="C8" s="7" t="inlineStr">
        <is>
          <t>22/07/2026</t>
        </is>
      </c>
      <c r="D8" s="9" t="n">
        <v>120194</v>
      </c>
      <c r="E8" s="7" t="inlineStr">
        <is>
          <t>شغل أدهم (توريد صني)</t>
        </is>
      </c>
      <c r="F8" s="9" t="n">
        <v>120194</v>
      </c>
      <c r="G8" s="7" t="inlineStr">
        <is>
          <t>خالص</t>
        </is>
      </c>
    </row>
    <row r="9">
      <c r="A9" s="4" t="n">
        <v>5</v>
      </c>
      <c r="B9" s="5" t="inlineStr">
        <is>
          <t>فاتورة 4</t>
        </is>
      </c>
      <c r="C9" s="4" t="inlineStr">
        <is>
          <t>01/08/2026</t>
        </is>
      </c>
      <c r="D9" s="6" t="n">
        <v>125971</v>
      </c>
      <c r="E9" s="4" t="inlineStr">
        <is>
          <t>شغل أدهم وعلي</t>
        </is>
      </c>
      <c r="F9" s="6" t="n">
        <v>125971</v>
      </c>
      <c r="G9" s="4" t="inlineStr">
        <is>
          <t>خالص</t>
        </is>
      </c>
    </row>
    <row r="10">
      <c r="A10" s="7" t="n">
        <v>6</v>
      </c>
      <c r="B10" s="8" t="inlineStr">
        <is>
          <t>فاتوره 5</t>
        </is>
      </c>
      <c r="C10" s="7" t="inlineStr">
        <is>
          <t>13/09/2026</t>
        </is>
      </c>
      <c r="D10" s="9" t="n">
        <v>129569</v>
      </c>
      <c r="E10" s="7" t="inlineStr">
        <is>
          <t>الشيخ طه</t>
        </is>
      </c>
      <c r="F10" s="9" t="n">
        <v>0</v>
      </c>
      <c r="G10" s="7" t="inlineStr">
        <is>
          <t>تحت الحساب</t>
        </is>
      </c>
    </row>
    <row r="11" ht="26" customHeight="1">
      <c r="A11" s="10" t="n"/>
      <c r="B11" s="11" t="inlineStr">
        <is>
          <t>إجمالي فواتير صديق جعفر</t>
        </is>
      </c>
      <c r="C11" s="10" t="n"/>
      <c r="D11" s="12">
        <f>SUM(D5:D10)</f>
        <v/>
      </c>
      <c r="E11" s="10" t="n"/>
      <c r="F11" s="12">
        <f>SUM(F5:F10)</f>
        <v/>
      </c>
      <c r="G11" s="10" t="n"/>
    </row>
    <row r="12"/>
    <row r="13"/>
    <row r="14" ht="24" customHeight="1">
      <c r="A14" s="13" t="inlineStr">
        <is>
          <t>٢. سجل الدفعات والمقبوضات الواصلة من صديق جعفر</t>
        </is>
      </c>
    </row>
    <row r="15" ht="24" customHeight="1">
      <c r="A15" s="14" t="inlineStr">
        <is>
          <t>م</t>
        </is>
      </c>
      <c r="B15" s="14" t="inlineStr">
        <is>
          <t>البيان الأصلي</t>
        </is>
      </c>
      <c r="C15" s="14" t="inlineStr">
        <is>
          <t>التاريخ</t>
        </is>
      </c>
      <c r="D15" s="14" t="inlineStr">
        <is>
          <t>المبلغ بالجنيه</t>
        </is>
      </c>
      <c r="E15" s="14" t="inlineStr">
        <is>
          <t>طريقة السداد</t>
        </is>
      </c>
      <c r="F15" s="14" t="inlineStr">
        <is>
          <t>ملاحظات الدفعة</t>
        </is>
      </c>
    </row>
    <row r="16">
      <c r="A16" s="7" t="n">
        <v>1</v>
      </c>
      <c r="B16" s="8" t="inlineStr">
        <is>
          <t>واصل منه</t>
        </is>
      </c>
      <c r="C16" s="7" t="inlineStr">
        <is>
          <t>19/07/2026</t>
        </is>
      </c>
      <c r="D16" s="9" t="n">
        <v>100000</v>
      </c>
      <c r="E16" s="7" t="inlineStr">
        <is>
          <t>نقدياً</t>
        </is>
      </c>
      <c r="F16" s="7" t="inlineStr">
        <is>
          <t>دفعة يوليو الأولى</t>
        </is>
      </c>
    </row>
    <row r="17">
      <c r="A17" s="4" t="n">
        <v>2</v>
      </c>
      <c r="B17" s="5" t="inlineStr">
        <is>
          <t>واصل منه</t>
        </is>
      </c>
      <c r="C17" s="4" t="inlineStr">
        <is>
          <t>28/07/2026</t>
        </is>
      </c>
      <c r="D17" s="6" t="n">
        <v>40000</v>
      </c>
      <c r="E17" s="4" t="inlineStr">
        <is>
          <t>نقدياً</t>
        </is>
      </c>
      <c r="F17" s="4" t="inlineStr">
        <is>
          <t>دفعة يوليو الثانية</t>
        </is>
      </c>
    </row>
    <row r="18">
      <c r="A18" s="7" t="n">
        <v>3</v>
      </c>
      <c r="B18" s="8" t="inlineStr">
        <is>
          <t>واصل منه</t>
        </is>
      </c>
      <c r="C18" s="7" t="inlineStr">
        <is>
          <t>17/08/2026</t>
        </is>
      </c>
      <c r="D18" s="9" t="n">
        <v>50000</v>
      </c>
      <c r="E18" s="7" t="inlineStr">
        <is>
          <t>نقدياً</t>
        </is>
      </c>
      <c r="F18" s="7" t="inlineStr">
        <is>
          <t>دفعة أغسطس الأولى</t>
        </is>
      </c>
    </row>
    <row r="19">
      <c r="A19" s="4" t="n">
        <v>4</v>
      </c>
      <c r="B19" s="5" t="inlineStr">
        <is>
          <t>واصل منه</t>
        </is>
      </c>
      <c r="C19" s="4" t="inlineStr">
        <is>
          <t>09/08/2026</t>
        </is>
      </c>
      <c r="D19" s="6" t="n">
        <v>50000</v>
      </c>
      <c r="E19" s="4" t="inlineStr">
        <is>
          <t>نقدياً</t>
        </is>
      </c>
      <c r="F19" s="4" t="inlineStr">
        <is>
          <t>دفعة أغسطس الثانية</t>
        </is>
      </c>
    </row>
    <row r="20">
      <c r="A20" s="7" t="n">
        <v>5</v>
      </c>
      <c r="B20" s="8" t="inlineStr">
        <is>
          <t>واصل منه</t>
        </is>
      </c>
      <c r="C20" s="7" t="inlineStr">
        <is>
          <t>23/09/2026</t>
        </is>
      </c>
      <c r="D20" s="9" t="n">
        <v>150000</v>
      </c>
      <c r="E20" s="7" t="inlineStr">
        <is>
          <t>نقدياً</t>
        </is>
      </c>
      <c r="F20" s="7" t="inlineStr">
        <is>
          <t>دفعة سبتمبر الكبرى</t>
        </is>
      </c>
    </row>
    <row r="21">
      <c r="A21" s="4" t="n">
        <v>6</v>
      </c>
      <c r="B21" s="5" t="inlineStr">
        <is>
          <t>واصل منه</t>
        </is>
      </c>
      <c r="C21" s="4" t="inlineStr">
        <is>
          <t>13/10/2026</t>
        </is>
      </c>
      <c r="D21" s="6" t="n">
        <v>100000</v>
      </c>
      <c r="E21" s="4" t="inlineStr">
        <is>
          <t>نقدياً</t>
        </is>
      </c>
      <c r="F21" s="4" t="inlineStr">
        <is>
          <t>دفعة أكتوبر</t>
        </is>
      </c>
    </row>
    <row r="22" ht="26" customHeight="1">
      <c r="A22" s="15" t="n"/>
      <c r="B22" s="16" t="inlineStr">
        <is>
          <t>إجمالي الواصل والمسدد</t>
        </is>
      </c>
      <c r="C22" s="15" t="n"/>
      <c r="D22" s="17">
        <f>SUM(D16:D21)</f>
        <v/>
      </c>
      <c r="E22" s="15" t="n"/>
      <c r="F22" s="15" t="n"/>
    </row>
    <row r="23" ht="28" customHeight="1">
      <c r="A23" s="10" t="n"/>
      <c r="B23" s="11" t="inlineStr">
        <is>
          <t>الرصيد المتبقي عليه</t>
        </is>
      </c>
      <c r="C23" s="10" t="n"/>
      <c r="D23" s="12">
        <f>D11-D22</f>
        <v/>
      </c>
      <c r="E23" s="10" t="n"/>
      <c r="F23" s="10" t="n"/>
    </row>
  </sheetData>
  <mergeCells count="3">
    <mergeCell ref="A3:G3"/>
    <mergeCell ref="A14:G1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2026-10-27T19:51:17Z</dcterms:created>
  <dcterms:modified xsi:type="dcterms:W3CDTF">2026-10-27T19:51:17Z</dcterms:modified>
</cp:coreProperties>
</file>
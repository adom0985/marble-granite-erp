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كشف الحساب المطور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iro"/>
      <b val="1"/>
      <color rgb="001E3A8A"/>
      <sz val="16"/>
    </font>
    <font>
      <name val="Cairo"/>
      <color rgb="0064748B"/>
      <sz val="11"/>
    </font>
    <font>
      <name val="Cairo"/>
      <b val="1"/>
      <color rgb="00FFFFFF"/>
      <sz val="11"/>
    </font>
    <font>
      <name val="Cairo"/>
      <b val="1"/>
      <sz val="11"/>
    </font>
    <font>
      <name val="Cairo"/>
      <b val="1"/>
      <color rgb="001E3A8A"/>
      <sz val="13"/>
    </font>
    <font>
      <name val="Cairo"/>
      <b val="1"/>
      <color rgb="00B91C1C"/>
      <sz val="14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CE7F3"/>
        <bgColor rgb="00FCE7F3"/>
      </patternFill>
    </fill>
    <fill>
      <patternFill patternType="solid">
        <fgColor rgb="00DCFCE7"/>
        <bgColor rgb="00DCFCE7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0" fillId="0" borderId="1" pivotButton="0" quotePrefix="0" xfId="0"/>
    <xf numFmtId="4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4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6" customWidth="1" min="4" max="4"/>
    <col width="30" customWidth="1" min="5" max="5"/>
  </cols>
  <sheetData>
    <row r="1">
      <c r="A1" s="1" t="inlineStr">
        <is>
          <t>كشف حساب وسجل حركات: الحاج صلاح (النسخة المطورة 2026)</t>
        </is>
      </c>
    </row>
    <row r="2">
      <c r="A2" s="2" t="inlineStr">
        <is>
          <t>شركة ومصانع خالي أحمد جلال للرخام والجرانيت - إدارة الحسابات العامة</t>
        </is>
      </c>
    </row>
    <row r="4">
      <c r="A4" s="3" t="inlineStr">
        <is>
          <t>م</t>
        </is>
      </c>
      <c r="B4" s="3" t="inlineStr">
        <is>
          <t>بيان الفاتورة</t>
        </is>
      </c>
      <c r="C4" s="3" t="inlineStr">
        <is>
          <t>المبلغ (ج.م)</t>
        </is>
      </c>
      <c r="D4" s="3" t="inlineStr">
        <is>
          <t>التاريخ</t>
        </is>
      </c>
      <c r="E4" s="3" t="inlineStr">
        <is>
          <t>ملاحظات وتفاصيل التوريد</t>
        </is>
      </c>
    </row>
    <row r="5">
      <c r="A5" s="4" t="n">
        <v>1</v>
      </c>
      <c r="B5" s="4" t="inlineStr">
        <is>
          <t>فاتورة 11 / 10</t>
        </is>
      </c>
      <c r="C5" s="5" t="n">
        <v>122828</v>
      </c>
      <c r="D5" s="4" t="inlineStr">
        <is>
          <t>11/10/2026</t>
        </is>
      </c>
      <c r="E5" s="6" t="inlineStr">
        <is>
          <t>137 قطعة (744.41 م٢)</t>
        </is>
      </c>
    </row>
    <row r="6">
      <c r="A6" s="4" t="n">
        <v>2</v>
      </c>
      <c r="B6" s="4" t="inlineStr">
        <is>
          <t>فاتورة 23 / 9 (2)</t>
        </is>
      </c>
      <c r="C6" s="5" t="n">
        <v>122755</v>
      </c>
      <c r="D6" s="4" t="inlineStr">
        <is>
          <t>23/9/2026</t>
        </is>
      </c>
      <c r="E6" s="6" t="inlineStr">
        <is>
          <t>138 قطعة (743.90 م٢)</t>
        </is>
      </c>
    </row>
    <row r="7">
      <c r="A7" s="4" t="n">
        <v>3</v>
      </c>
      <c r="B7" s="4" t="inlineStr">
        <is>
          <t>فاتورة 23 / 9 (1)</t>
        </is>
      </c>
      <c r="C7" s="5" t="n">
        <v>121755</v>
      </c>
      <c r="D7" s="4" t="inlineStr">
        <is>
          <t>23/9/2026</t>
        </is>
      </c>
      <c r="E7" s="6" t="inlineStr">
        <is>
          <t>133 قطعة (737.90 م٢)</t>
        </is>
      </c>
    </row>
    <row r="8">
      <c r="A8" s="4" t="n">
        <v>4</v>
      </c>
      <c r="B8" s="4" t="inlineStr">
        <is>
          <t>فاتورة 3 / 10</t>
        </is>
      </c>
      <c r="C8" s="5" t="n">
        <v>125242</v>
      </c>
      <c r="D8" s="4" t="inlineStr">
        <is>
          <t>3/10/2026</t>
        </is>
      </c>
      <c r="E8" s="6" t="inlineStr">
        <is>
          <t>141 قطعة (659.17 م٢)</t>
        </is>
      </c>
    </row>
    <row r="9">
      <c r="A9" s="4" t="n">
        <v>5</v>
      </c>
      <c r="B9" s="4" t="inlineStr">
        <is>
          <t>فاتورة 27 / 10</t>
        </is>
      </c>
      <c r="C9" s="5" t="n">
        <v>205128</v>
      </c>
      <c r="D9" s="4" t="inlineStr">
        <is>
          <t>2026-10-27</t>
        </is>
      </c>
      <c r="E9" s="6" t="inlineStr">
        <is>
          <t>6,160 قطعة (1,108.80 م٢)</t>
        </is>
      </c>
    </row>
    <row r="10">
      <c r="A10" s="4" t="n">
        <v>6</v>
      </c>
      <c r="B10" s="4" t="inlineStr">
        <is>
          <t>فاتورة 26 / 10 (1)</t>
        </is>
      </c>
      <c r="C10" s="5" t="n">
        <v>122985.05</v>
      </c>
      <c r="D10" s="4" t="inlineStr">
        <is>
          <t>2026-10-26</t>
        </is>
      </c>
      <c r="E10" s="6" t="inlineStr">
        <is>
          <t>132 قطعة (745.36 م٢)</t>
        </is>
      </c>
    </row>
    <row r="11">
      <c r="A11" s="4" t="n">
        <v>7</v>
      </c>
      <c r="B11" s="4" t="inlineStr">
        <is>
          <t>فاتورة 26 / 10 (2)</t>
        </is>
      </c>
      <c r="C11" s="5" t="n">
        <v>122488.81</v>
      </c>
      <c r="D11" s="4" t="inlineStr">
        <is>
          <t>2026-10-26</t>
        </is>
      </c>
      <c r="E11" s="6" t="inlineStr">
        <is>
          <t>132 قطعة (742.36 م٢)</t>
        </is>
      </c>
    </row>
    <row r="12">
      <c r="A12" s="7" t="inlineStr">
        <is>
          <t>إجمالي المسحوبات (الفواتير)</t>
        </is>
      </c>
      <c r="B12" s="8" t="n"/>
      <c r="C12" s="9">
        <f>SUM(C5:C11)</f>
        <v/>
      </c>
      <c r="D12" s="8" t="n"/>
      <c r="E12" s="8" t="n"/>
    </row>
    <row r="14">
      <c r="A14" s="3" t="inlineStr">
        <is>
          <t>م</t>
        </is>
      </c>
      <c r="B14" s="3" t="inlineStr">
        <is>
          <t>بيان الدفعة الواصلة</t>
        </is>
      </c>
      <c r="C14" s="3" t="inlineStr">
        <is>
          <t>المبلغ (ج.م)</t>
        </is>
      </c>
      <c r="D14" s="3" t="inlineStr">
        <is>
          <t>التاريخ</t>
        </is>
      </c>
      <c r="E14" s="3" t="inlineStr">
        <is>
          <t>طريقة الدفع</t>
        </is>
      </c>
    </row>
    <row r="15">
      <c r="A15" s="4" t="n">
        <v>1</v>
      </c>
      <c r="B15" s="4" t="inlineStr">
        <is>
          <t>واصل منه</t>
        </is>
      </c>
      <c r="C15" s="5" t="n">
        <v>150000</v>
      </c>
      <c r="D15" s="4" t="inlineStr">
        <is>
          <t>2026-10-15</t>
        </is>
      </c>
      <c r="E15" s="4" t="inlineStr">
        <is>
          <t>نقداً</t>
        </is>
      </c>
    </row>
    <row r="16">
      <c r="A16" s="4" t="n">
        <v>2</v>
      </c>
      <c r="B16" s="4" t="inlineStr">
        <is>
          <t>واصل منه</t>
        </is>
      </c>
      <c r="C16" s="5" t="n">
        <v>132500</v>
      </c>
      <c r="D16" s="4" t="inlineStr">
        <is>
          <t>2026-10-20</t>
        </is>
      </c>
      <c r="E16" s="4" t="inlineStr">
        <is>
          <t>نقداً</t>
        </is>
      </c>
    </row>
    <row r="17">
      <c r="A17" s="10" t="inlineStr">
        <is>
          <t>إجمالي الواصل منه (السدادات)</t>
        </is>
      </c>
      <c r="B17" s="8" t="n"/>
      <c r="C17" s="11">
        <f>SUM(C15:C16)</f>
        <v/>
      </c>
      <c r="D17" s="8" t="n"/>
      <c r="E17" s="8" t="n"/>
    </row>
    <row r="19">
      <c r="A19" s="12" t="inlineStr">
        <is>
          <t>المتبقي (الصافي المطلوب)</t>
        </is>
      </c>
      <c r="B19" s="8" t="n"/>
      <c r="C19" s="13">
        <f>C12-C17</f>
        <v/>
      </c>
      <c r="D19" s="8" t="n"/>
      <c r="E19" s="8" t="n"/>
    </row>
  </sheetData>
  <mergeCells count="5">
    <mergeCell ref="A2:E2"/>
    <mergeCell ref="A19:B19"/>
    <mergeCell ref="A1:E1"/>
    <mergeCell ref="A17:B17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2026-10-27T21:40:33Z</dcterms:created>
  <dcterms:modified xsi:type="dcterms:W3CDTF">2026-10-27T21:40:33Z</dcterms:modified>
</cp:coreProperties>
</file>